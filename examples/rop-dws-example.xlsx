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590" windowHeight="1597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<sst xmlns="http://schemas.openxmlformats.org/spreadsheetml/2006/main" count="63" uniqueCount="52">
  <si>
    <t>REALTYONE PLUS, LLC</t>
  </si>
  <si>
    <t>DATA WORKSHEET</t>
  </si>
  <si>
    <t>AMOUNT</t>
  </si>
  <si>
    <t>TODAY'S DATE</t>
  </si>
  <si>
    <t>CLOSING DATE</t>
  </si>
  <si>
    <t>SALE</t>
  </si>
  <si>
    <t>LEASE</t>
  </si>
  <si>
    <t>PROPERTY ADDRESS</t>
  </si>
  <si>
    <t>SALE PRICE</t>
  </si>
  <si>
    <t>MLS#</t>
  </si>
  <si>
    <t>ADDRESS</t>
  </si>
  <si>
    <t>LISTING AGENT</t>
  </si>
  <si>
    <t>EMAIL</t>
  </si>
  <si>
    <t>BROKER PROCESS FEES</t>
  </si>
  <si>
    <t>COMMISSION TO SELLING AGENT</t>
  </si>
  <si>
    <t>NAME</t>
  </si>
  <si>
    <t>COMMISSION TO LISTING AGENT</t>
  </si>
  <si>
    <t>PHONE #</t>
  </si>
  <si>
    <t>CLOSER</t>
  </si>
  <si>
    <t>DESCRIPTION</t>
  </si>
  <si>
    <t>REALTYONEPLUS@HOTMAIL.COM</t>
  </si>
  <si>
    <t>281-410-8725</t>
  </si>
  <si>
    <t>TOTAL COMMISSION</t>
  </si>
  <si>
    <t>BROKER OTHER FEES</t>
  </si>
  <si>
    <t>AGENT CONTRIBUTION TO BUYER AT CLOSING</t>
  </si>
  <si>
    <t>MANDATORY DOCUMENTS NEEDED FOR FUNDING</t>
  </si>
  <si>
    <t>OTHER:</t>
  </si>
  <si>
    <t>SELLER/LANDLORD</t>
  </si>
  <si>
    <t>BUYER/TENANT</t>
  </si>
  <si>
    <t>GF #</t>
  </si>
  <si>
    <t>LISTING BROKER</t>
  </si>
  <si>
    <t>SELLING BROKER</t>
  </si>
  <si>
    <t>SELLING AGENT</t>
  </si>
  <si>
    <t>TITLE CO./ADDRESS</t>
  </si>
  <si>
    <t>3130 GRANTS LAKE BLVD #17272</t>
  </si>
  <si>
    <t>SUGAR LAND, TX 77496</t>
  </si>
  <si>
    <t>Wanhai Liu</t>
  </si>
  <si>
    <t>RealtyOne Plus, LLC</t>
  </si>
  <si>
    <t>wayneliuhomes@gmail.com</t>
  </si>
  <si>
    <t>832-713-3398</t>
  </si>
  <si>
    <t xml:space="preserve">	3130 Grants Lake BLVD #17272, Sugar Land, TX 77496</t>
  </si>
  <si>
    <t>8730 Flounder Rosa Lane, Cypress, Texas, 77433</t>
  </si>
  <si>
    <t>Federal Home Loan Mortgage Corporation</t>
  </si>
  <si>
    <t>Haihong Jiang</t>
  </si>
  <si>
    <t>COLDWELL BANKER REALTY</t>
  </si>
  <si>
    <t>936-448-2100</t>
  </si>
  <si>
    <t>Marcia Warner</t>
  </si>
  <si>
    <t>mwarner@callconroehome.com</t>
  </si>
  <si>
    <t>RADIAN SETTLEMENT SERVICES INC / 550 East Swedesford Road, Suite 350, Wayne, PA 19087</t>
  </si>
  <si>
    <t>Robyn Inacio</t>
  </si>
  <si>
    <t>robyn.inacio@radian.com</t>
  </si>
  <si>
    <t>980-622-6156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</si>
</sst>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entury Gothic"/>
      <family val="1"/>
    </font>
    <font>
      <u/>
      <sz val="11"/>
      <color theme="10"/>
      <name val="Calibri"/>
      <family val="2"/>
      <scheme val="minor"/>
    </font>
    <font>
      <b/>
      <sz val="10"/>
      <color theme="6" tint="-0.499984740745262"/>
      <name val="Calibri Light"/>
      <family val="2"/>
      <scheme val="major"/>
    </font>
    <font>
      <b/>
      <sz val="16"/>
      <color theme="6" tint="-0.499984740745262"/>
      <name val="Calibri Light"/>
      <family val="2"/>
      <scheme val="major"/>
    </font>
    <font>
      <b/>
      <sz val="12"/>
      <color theme="6" tint="-0.249977111117893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theme="6" tint="-0.499984740745262"/>
      <name val="Calibri Light"/>
      <family val="2"/>
      <scheme val="major"/>
    </font>
    <font>
      <u/>
      <sz val="9"/>
      <color theme="10"/>
      <name val="Calibri"/>
      <family val="2"/>
      <scheme val="minor"/>
    </font>
    <font>
      <sz val="9"/>
      <color theme="6" tint="-0.499984740745262"/>
      <name val="Century Gothic"/>
      <family val="1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entury Gothic"/>
      <family val="1"/>
    </font>
    <font>
      <b/>
      <sz val="8"/>
      <name val="Calibri Light"/>
      <family val="2"/>
      <scheme val="major"/>
    </font>
    <font>
      <sz val="8"/>
      <color theme="1"/>
      <name val="Century Gothic"/>
      <family val="1"/>
    </font>
    <font>
      <b/>
      <sz val="8"/>
      <color theme="6" tint="-0.249977111117893"/>
      <name val="Calibri Light"/>
      <family val="2"/>
      <scheme val="major"/>
    </font>
    <font>
      <sz val="11"/>
      <color rgb="FF202124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Segoe UI"/>
      <family val="2"/>
    </font>
    <font>
      <b/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44" fontId="11" fillId="0" borderId="1" xfId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2" applyFont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2" xfId="0" applyFont="1" applyBorder="1" applyAlignment="1">
      <alignment horizontal="left" vertical="center" wrapText="1" indent="1"/>
    </xf>
    <xf numFmtId="14" fontId="15" fillId="0" borderId="1" xfId="1" applyNumberFormat="1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>
      <alignment horizontal="center" vertical="center" wrapText="1"/>
    </xf>
    <xf numFmtId="44" fontId="15" fillId="0" borderId="1" xfId="1" applyFont="1" applyBorder="1" applyAlignment="1" applyProtection="1">
      <alignment horizontal="center" vertical="center"/>
    </xf>
    <xf numFmtId="0" fontId="17" fillId="0" borderId="0" xfId="0" applyFont="1" applyAlignment="1">
      <alignment horizontal="center" wrapText="1"/>
    </xf>
    <xf numFmtId="44" fontId="15" fillId="0" borderId="1" xfId="1" applyFont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center" wrapText="1"/>
    </xf>
    <xf numFmtId="44" fontId="15" fillId="0" borderId="1" xfId="1" applyFont="1" applyBorder="1" applyAlignment="1" applyProtection="1">
      <alignment horizontal="center" vertical="center"/>
      <protection locked="0"/>
    </xf>
    <xf numFmtId="44" fontId="15" fillId="0" borderId="1" xfId="1" applyFont="1" applyFill="1" applyBorder="1" applyAlignment="1" applyProtection="1">
      <alignment horizontal="center" vertical="center"/>
      <protection locked="0"/>
    </xf>
    <xf numFmtId="44" fontId="15" fillId="0" borderId="1" xfId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1" xfId="0" applyFont="1" applyBorder="1" applyAlignment="1" applyProtection="1">
      <alignment wrapText="1"/>
      <protection locked="0"/>
    </xf>
    <xf numFmtId="0" fontId="21" fillId="0" borderId="0" xfId="0" applyFont="1" applyProtection="1">
      <protection locked="0"/>
    </xf>
    <xf numFmtId="44" fontId="22" fillId="0" borderId="1" xfId="1" applyFont="1" applyBorder="1" applyAlignment="1" applyProtection="1">
      <alignment horizontal="left" vertical="center"/>
      <protection locked="0"/>
    </xf>
    <xf numFmtId="44" fontId="22" fillId="2" borderId="1" xfId="1" applyFont="1" applyFill="1" applyBorder="1" applyAlignment="1" applyProtection="1">
      <alignment horizontal="left" vertical="center"/>
      <protection locked="0"/>
    </xf>
    <xf numFmtId="0" fontId="24" fillId="0" borderId="0" xfId="0" applyFont="1" applyProtection="1">
      <protection locked="0"/>
    </xf>
    <xf numFmtId="0" fontId="20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 indent="1"/>
    </xf>
    <xf numFmtId="0" fontId="15" fillId="0" borderId="4" xfId="0" applyFont="1" applyBorder="1" applyAlignment="1">
      <alignment horizontal="left" vertical="center" wrapText="1" indent="1"/>
    </xf>
    <xf numFmtId="0" fontId="15" fillId="0" borderId="2" xfId="0" applyFont="1" applyBorder="1" applyAlignment="1" applyProtection="1">
      <alignment horizontal="left" vertical="center" wrapText="1" indent="1"/>
      <protection locked="0"/>
    </xf>
    <xf numFmtId="0" fontId="15" fillId="0" borderId="3" xfId="0" applyFont="1" applyBorder="1" applyAlignment="1" applyProtection="1">
      <alignment horizontal="left" vertical="center" wrapText="1" indent="1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5" fillId="0" borderId="4" xfId="0" applyFont="1" applyBorder="1" applyAlignment="1" applyProtection="1">
      <alignment horizontal="left" vertical="center" wrapText="1" indent="1"/>
      <protection locked="0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0" borderId="2" xfId="0" applyFont="1" applyBorder="1" applyAlignment="1" applyProtection="1">
      <alignment horizontal="left" vertical="center" wrapText="1"/>
      <protection locked="0"/>
    </xf>
    <xf numFmtId="0" fontId="16" fillId="0" borderId="4" xfId="0" applyFont="1" applyBorder="1" applyAlignment="1" applyProtection="1">
      <alignment horizontal="left" vertical="center" wrapText="1"/>
      <protection locked="0"/>
    </xf>
    <xf numFmtId="0" fontId="16" fillId="0" borderId="3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6" fontId="16" fillId="0" borderId="2" xfId="0" applyNumberFormat="1" applyFont="1" applyBorder="1" applyAlignment="1" applyProtection="1">
      <alignment horizontal="left" vertical="center" wrapText="1"/>
      <protection locked="0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6</xdr:row>
          <xdr:rowOff>0</xdr:rowOff>
        </xdr:from>
        <xdr:to>
          <xdr:col>4</xdr:col>
          <xdr:colOff>952500</xdr:colOff>
          <xdr:row>7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6</xdr:row>
          <xdr:rowOff>19050</xdr:rowOff>
        </xdr:from>
        <xdr:to>
          <xdr:col>5</xdr:col>
          <xdr:colOff>590550</xdr:colOff>
          <xdr:row>6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36</xdr:row>
          <xdr:rowOff>19050</xdr:rowOff>
        </xdr:from>
        <xdr:to>
          <xdr:col>3</xdr:col>
          <xdr:colOff>571500</xdr:colOff>
          <xdr:row>36</xdr:row>
          <xdr:rowOff>209550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 worksheet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36</xdr:row>
          <xdr:rowOff>19050</xdr:rowOff>
        </xdr:from>
        <xdr:to>
          <xdr:col>4</xdr:col>
          <xdr:colOff>323850</xdr:colOff>
          <xdr:row>36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MLS print out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37</xdr:row>
          <xdr:rowOff>19050</xdr:rowOff>
        </xdr:from>
        <xdr:to>
          <xdr:col>2</xdr:col>
          <xdr:colOff>190500</xdr:colOff>
          <xdr:row>38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Excuted 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990600</xdr:colOff>
          <xdr:row>37</xdr:row>
          <xdr:rowOff>57150</xdr:rowOff>
        </xdr:from>
        <xdr:to>
          <xdr:col>3</xdr:col>
          <xdr:colOff>438150</xdr:colOff>
          <xdr:row>37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Executed Addendems(Lead Paint, MUD, HOA)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38</xdr:row>
          <xdr:rowOff>57150</xdr:rowOff>
        </xdr:from>
        <xdr:to>
          <xdr:col>4</xdr:col>
          <xdr:colOff>95250</xdr:colOff>
          <xdr:row>39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36</xdr:row>
          <xdr:rowOff>19050</xdr:rowOff>
        </xdr:from>
        <xdr:to>
          <xdr:col>5</xdr:col>
          <xdr:colOff>1009650</xdr:colOff>
          <xdr:row>36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Information About Brokerage Services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37</xdr:row>
          <xdr:rowOff>38100</xdr:rowOff>
        </xdr:from>
        <xdr:to>
          <xdr:col>5</xdr:col>
          <xdr:colOff>1047750</xdr:colOff>
          <xdr:row>37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Closing Disclosure/HUD-1 Statement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38</xdr:row>
          <xdr:rowOff>38100</xdr:rowOff>
        </xdr:from>
        <xdr:to>
          <xdr:col>3</xdr:col>
          <xdr:colOff>114300</xdr:colOff>
          <xdr:row>39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Listing Agreement or Buyer/Tenant Representation Agreement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37</xdr:row>
          <xdr:rowOff>38100</xdr:rowOff>
        </xdr:from>
        <xdr:to>
          <xdr:col>4</xdr:col>
          <xdr:colOff>342900</xdr:colOff>
          <xdr:row>38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Disclosures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ALTYONEPLUS@HOTMAIL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9"/>
  <sheetViews>
    <sheetView tabSelected="1" topLeftCell="A20" zoomScale="170" zoomScaleNormal="170" workbookViewId="0">
      <selection activeCell="C31" sqref="C31:D31"/>
    </sheetView>
  </sheetViews>
  <sheetFormatPr defaultColWidth="8.7109375" defaultRowHeight="15" x14ac:dyDescent="0.25"/>
  <cols>
    <col min="1" max="1" width="17.42578125" customWidth="1"/>
    <col min="2" max="2" width="11.7109375" customWidth="1"/>
    <col min="3" max="3" width="13.7109375" customWidth="1"/>
    <col min="4" max="4" width="11.42578125" customWidth="1"/>
    <col min="5" max="5" width="18.42578125" customWidth="1"/>
    <col min="6" max="6" width="17.28515625" customWidth="1"/>
    <col min="7" max="7" width="3.28515625" customWidth="1"/>
    <col min="8" max="8" width="3.42578125" customWidth="1"/>
    <col min="9" max="9" width="39" customWidth="1"/>
  </cols>
  <sheetData>
    <row r="1" spans="1:6" s="1" customFormat="1" ht="19.149999999999999" customHeight="1" x14ac:dyDescent="0.25">
      <c r="A1" s="42" t="s">
        <v>0</v>
      </c>
      <c r="B1" s="42"/>
      <c r="C1" s="42"/>
      <c r="D1" s="43"/>
      <c r="E1" s="43"/>
      <c r="F1" s="43"/>
    </row>
    <row r="2" spans="1:6" s="2" customFormat="1" ht="15" customHeight="1" x14ac:dyDescent="0.25">
      <c r="A2" s="7" t="s">
        <v>34</v>
      </c>
      <c r="B2" s="7"/>
      <c r="C2" s="8"/>
      <c r="D2" s="43"/>
      <c r="E2" s="43"/>
      <c r="F2" s="43"/>
    </row>
    <row r="3" spans="1:6" s="2" customFormat="1" ht="15" customHeight="1" x14ac:dyDescent="0.25">
      <c r="A3" s="7" t="s">
        <v>35</v>
      </c>
      <c r="B3" s="10"/>
      <c r="C3" s="11"/>
      <c r="D3" s="43"/>
      <c r="E3" s="43"/>
      <c r="F3" s="43"/>
    </row>
    <row r="4" spans="1:6" s="2" customFormat="1" ht="15" customHeight="1" x14ac:dyDescent="0.25">
      <c r="A4" s="9" t="s">
        <v>20</v>
      </c>
      <c r="B4" s="7"/>
      <c r="C4" s="8"/>
      <c r="D4" s="43"/>
      <c r="E4" s="43"/>
      <c r="F4" s="43"/>
    </row>
    <row r="5" spans="1:6" s="2" customFormat="1" ht="15" customHeight="1" x14ac:dyDescent="0.25">
      <c r="A5" s="7" t="s">
        <v>21</v>
      </c>
      <c r="B5" s="7"/>
      <c r="C5" s="8"/>
      <c r="D5" s="43"/>
      <c r="E5" s="43"/>
      <c r="F5" s="43"/>
    </row>
    <row r="6" spans="1:6" ht="19.149999999999999" customHeight="1" x14ac:dyDescent="0.2">
      <c r="A6" s="44" t="s">
        <v>1</v>
      </c>
      <c r="B6" s="44"/>
      <c r="C6" s="44"/>
      <c r="D6" s="44"/>
      <c r="E6" s="44"/>
      <c r="F6" s="44"/>
    </row>
    <row r="7" spans="1:6" ht="17.649999999999999" customHeight="1" x14ac:dyDescent="0.2">
      <c r="A7" s="12" t="s">
        <v>3</v>
      </c>
      <c r="B7" s="13">
        <v>46224</v>
      </c>
      <c r="C7" s="12" t="s">
        <v>4</v>
      </c>
      <c r="D7" s="13">
        <v>46227</v>
      </c>
      <c r="E7" s="14" t="s">
        <v>5</v>
      </c>
      <c r="F7" s="15" t="s">
        <v>6</v>
      </c>
    </row>
    <row r="8" spans="1:6" ht="18" customHeight="1" x14ac:dyDescent="0.3">
      <c r="A8" s="12" t="s">
        <v>7</v>
      </c>
      <c r="B8" s="39" t="s">
        <v>41</v>
      </c>
      <c r="C8" s="40"/>
      <c r="D8" s="40"/>
      <c r="E8" s="40"/>
      <c r="F8" s="41"/>
    </row>
    <row r="9" spans="1:6" ht="17.649999999999999" customHeight="1" x14ac:dyDescent="0.2">
      <c r="A9" s="12" t="s">
        <v>8</v>
      </c>
      <c r="B9" s="45">
        <v>385800</v>
      </c>
      <c r="C9" s="40"/>
      <c r="D9" s="40"/>
      <c r="E9" s="12" t="s">
        <v>9</v>
      </c>
      <c r="F9" s="27">
        <v>10228066</v>
      </c>
    </row>
    <row r="10" spans="1:6" ht="3.75" customHeight="1" x14ac:dyDescent="0.2">
      <c r="A10" s="16"/>
      <c r="B10" s="46"/>
      <c r="C10" s="47"/>
      <c r="D10" s="47"/>
      <c r="E10" s="16"/>
      <c r="F10" s="16"/>
    </row>
    <row r="11" spans="1:6" ht="18" customHeight="1" x14ac:dyDescent="0.3">
      <c r="A11" s="12" t="s">
        <v>27</v>
      </c>
      <c r="B11" s="39" t="s">
        <v>42</v>
      </c>
      <c r="C11" s="40"/>
      <c r="D11" s="40"/>
      <c r="E11" s="40"/>
      <c r="F11" s="41"/>
    </row>
    <row r="12" spans="1:6" ht="18" customHeight="1" x14ac:dyDescent="0.3">
      <c r="A12" s="12" t="s">
        <v>28</v>
      </c>
      <c r="B12" s="39" t="s">
        <v>43</v>
      </c>
      <c r="C12" s="40"/>
      <c r="D12" s="40"/>
      <c r="E12" s="40"/>
      <c r="F12" s="41"/>
    </row>
    <row r="13" spans="1:6" ht="3" customHeight="1" x14ac:dyDescent="0.2">
      <c r="A13" s="16"/>
      <c r="B13" s="46"/>
      <c r="C13" s="47"/>
      <c r="D13" s="47"/>
      <c r="E13" s="16"/>
      <c r="F13" s="16"/>
    </row>
    <row r="14" spans="1:6" ht="17.649999999999999" customHeight="1" x14ac:dyDescent="0.2">
      <c r="A14" s="12" t="s">
        <v>30</v>
      </c>
      <c r="B14" s="39" t="s">
        <v>44</v>
      </c>
      <c r="C14" s="40"/>
      <c r="D14" s="40"/>
      <c r="E14" s="12" t="s">
        <v>17</v>
      </c>
      <c r="F14" s="25" t="s">
        <v>45</v>
      </c>
    </row>
    <row r="15" spans="1:6" ht="18.75" customHeight="1" x14ac:dyDescent="0.2">
      <c r="A15" s="12" t="s">
        <v>10</v>
      </c>
      <c r="B15" s="39"/>
      <c r="C15" s="40"/>
      <c r="D15" s="40"/>
      <c r="E15" s="40"/>
      <c r="F15" s="41"/>
    </row>
    <row r="16" spans="1:6" ht="17.649999999999999" customHeight="1" x14ac:dyDescent="0.2">
      <c r="A16" s="12" t="s">
        <v>11</v>
      </c>
      <c r="B16" s="39" t="s">
        <v>46</v>
      </c>
      <c r="C16" s="40"/>
      <c r="D16" s="40"/>
      <c r="E16" s="12" t="s">
        <v>17</v>
      </c>
      <c r="F16" s="26" t="s">
        <v>45</v>
      </c>
    </row>
    <row r="17" spans="1:6" ht="19.149999999999999" customHeight="1" x14ac:dyDescent="0.2">
      <c r="A17" s="12" t="s">
        <v>12</v>
      </c>
      <c r="B17" s="39" t="s">
        <v>47</v>
      </c>
      <c r="C17" s="40"/>
      <c r="D17" s="40"/>
      <c r="E17" s="40"/>
      <c r="F17" s="41"/>
    </row>
    <row r="18" spans="1:6" ht="3.75" customHeight="1" x14ac:dyDescent="0.2">
      <c r="A18" s="16"/>
      <c r="B18" s="16"/>
      <c r="C18" s="16"/>
      <c r="D18" s="16"/>
      <c r="E18" s="16"/>
      <c r="F18" s="16"/>
    </row>
    <row r="19" spans="1:6" ht="17.649999999999999" customHeight="1" x14ac:dyDescent="0.2">
      <c r="A19" s="12" t="s">
        <v>31</v>
      </c>
      <c r="B19" s="39" t="s">
        <v>37</v>
      </c>
      <c r="C19" s="40"/>
      <c r="D19" s="40"/>
      <c r="E19" s="12" t="s">
        <v>17</v>
      </c>
      <c r="F19" s="17" t="s">
        <v>21</v>
      </c>
    </row>
    <row r="20" spans="1:6" ht="18.75" customHeight="1" x14ac:dyDescent="0.2">
      <c r="A20" s="12" t="s">
        <v>10</v>
      </c>
      <c r="B20" s="39" t="s">
        <v>40</v>
      </c>
      <c r="C20" s="40"/>
      <c r="D20" s="40"/>
      <c r="E20" s="40"/>
      <c r="F20" s="41"/>
    </row>
    <row r="21" spans="1:6" ht="17.649999999999999" customHeight="1" x14ac:dyDescent="0.2">
      <c r="A21" s="12" t="s">
        <v>32</v>
      </c>
      <c r="B21" s="39" t="s">
        <v>36</v>
      </c>
      <c r="C21" s="40"/>
      <c r="D21" s="40"/>
      <c r="E21" s="12" t="s">
        <v>17</v>
      </c>
      <c r="F21" s="17" t="s">
        <v>39</v>
      </c>
    </row>
    <row r="22" spans="1:6" ht="18.75" customHeight="1" x14ac:dyDescent="0.2">
      <c r="A22" s="12" t="s">
        <v>12</v>
      </c>
      <c r="B22" s="39" t="s">
        <v>38</v>
      </c>
      <c r="C22" s="40"/>
      <c r="D22" s="40"/>
      <c r="E22" s="40"/>
      <c r="F22" s="41"/>
    </row>
    <row r="23" spans="1:6" ht="3.75" customHeight="1" x14ac:dyDescent="0.2">
      <c r="A23" s="18"/>
      <c r="B23" s="18"/>
      <c r="C23" s="18"/>
      <c r="D23" s="18"/>
      <c r="E23" s="18"/>
      <c r="F23" s="18"/>
    </row>
    <row r="24" spans="1:6" ht="17.649999999999999" customHeight="1" x14ac:dyDescent="0.3">
      <c r="A24" s="12" t="s">
        <v>33</v>
      </c>
      <c r="B24" s="39" t="s">
        <v>48</v>
      </c>
      <c r="C24" s="40"/>
      <c r="D24" s="40"/>
      <c r="E24" s="40"/>
      <c r="F24" s="41"/>
    </row>
    <row r="25" spans="1:6" ht="17.649999999999999" customHeight="1" x14ac:dyDescent="0.3">
      <c r="A25" s="12" t="s">
        <v>18</v>
      </c>
      <c r="B25" s="39" t="s">
        <v>49</v>
      </c>
      <c r="C25" s="40"/>
      <c r="D25" s="40"/>
      <c r="E25" s="12" t="s">
        <v>29</v>
      </c>
      <c r="F25" s="24">
        <v>1280808282</v>
      </c>
    </row>
    <row r="26" spans="1:6" ht="17.649999999999999" customHeight="1" x14ac:dyDescent="0.3">
      <c r="A26" s="12" t="s">
        <v>12</v>
      </c>
      <c r="B26" s="39" t="s">
        <v>50</v>
      </c>
      <c r="C26" s="40"/>
      <c r="D26" s="40"/>
      <c r="E26" s="12" t="s">
        <v>17</v>
      </c>
      <c r="F26" s="17" t="s">
        <v>51</v>
      </c>
    </row>
    <row r="27" spans="1:6" ht="3.75" customHeight="1" x14ac:dyDescent="0.2">
      <c r="A27" s="3"/>
      <c r="B27" s="3"/>
      <c r="C27" s="3"/>
      <c r="D27" s="3"/>
      <c r="E27" s="3"/>
      <c r="F27" s="3"/>
    </row>
    <row r="28" spans="1:6" ht="21" customHeight="1" x14ac:dyDescent="0.2">
      <c r="A28" s="37" t="s">
        <v>19</v>
      </c>
      <c r="B28" s="38"/>
      <c r="C28" s="37" t="s">
        <v>15</v>
      </c>
      <c r="D28" s="38"/>
      <c r="E28" s="6" t="s">
        <v>10</v>
      </c>
      <c r="F28" s="6" t="s">
        <v>2</v>
      </c>
    </row>
    <row r="29" spans="1:6" ht="18" customHeight="1" x14ac:dyDescent="0.2">
      <c r="A29" s="29" t="s">
        <v>13</v>
      </c>
      <c r="B29" s="30"/>
      <c r="C29" s="31"/>
      <c r="D29" s="36"/>
      <c r="E29" s="19"/>
      <c r="F29" s="20">
        <v>150</v>
      </c>
    </row>
    <row r="30" spans="1:6" ht="18" customHeight="1" x14ac:dyDescent="0.2">
      <c r="A30" s="29" t="s">
        <v>23</v>
      </c>
      <c r="B30" s="30"/>
      <c r="C30" s="31"/>
      <c r="D30" s="36"/>
      <c r="E30" s="19"/>
      <c r="F30" s="20">
        <v>0</v>
      </c>
    </row>
    <row r="31" spans="1:6" ht="30.75" customHeight="1" x14ac:dyDescent="0.25">
      <c r="A31" s="29" t="s">
        <v>14</v>
      </c>
      <c r="B31" s="30"/>
      <c r="C31" s="31" t="s">
        <v>36</v>
      </c>
      <c r="D31" s="32"/>
      <c r="E31" s="23"/>
      <c r="F31" s="20">
        <v>5637</v>
      </c>
    </row>
    <row r="32" spans="1:6" ht="30.75" customHeight="1" x14ac:dyDescent="0.2">
      <c r="A32" s="29" t="s">
        <v>16</v>
      </c>
      <c r="B32" s="30"/>
      <c r="C32" s="31"/>
      <c r="D32" s="32"/>
      <c r="E32" s="22"/>
      <c r="F32" s="20"/>
    </row>
    <row r="33" spans="1:6" ht="33" customHeight="1" x14ac:dyDescent="0.2">
      <c r="A33" s="29" t="s">
        <v>24</v>
      </c>
      <c r="B33" s="30"/>
      <c r="C33" s="31"/>
      <c r="D33" s="36"/>
      <c r="E33" s="21"/>
      <c r="F33" s="20"/>
    </row>
    <row r="34" spans="1:6" ht="32.65" customHeight="1" x14ac:dyDescent="0.2">
      <c r="A34" s="29" t="s">
        <v>26</v>
      </c>
      <c r="B34" s="30"/>
      <c r="C34" s="31"/>
      <c r="D34" s="36"/>
      <c r="E34" s="19"/>
      <c r="F34" s="20">
        <v>0</v>
      </c>
    </row>
    <row r="35" spans="1:6" s="4" customFormat="1" ht="18" customHeight="1" x14ac:dyDescent="0.2">
      <c r="A35" s="33"/>
      <c r="B35" s="34"/>
      <c r="C35" s="34"/>
      <c r="D35" s="35"/>
      <c r="E35" s="6" t="s">
        <v>22</v>
      </c>
      <c r="F35" s="5">
        <f>F29+F31+F33</f>
        <v>5787</v>
      </c>
    </row>
    <row r="36" spans="1:6" ht="3.75" customHeight="1" x14ac:dyDescent="0.2">
      <c r="A36" s="3"/>
      <c r="B36" s="3"/>
      <c r="C36" s="3"/>
      <c r="D36" s="3"/>
      <c r="E36" s="3"/>
      <c r="F36" s="3"/>
    </row>
    <row r="37" spans="1:6" ht="19.149999999999999" customHeight="1" x14ac:dyDescent="0.2">
      <c r="A37" s="28" t="s">
        <v>25</v>
      </c>
      <c r="B37" s="28"/>
      <c r="C37" s="28"/>
      <c r="D37" s="28"/>
      <c r="E37" s="28"/>
      <c r="F37" s="28"/>
    </row>
    <row r="38" spans="1:6" ht="19.149999999999999" customHeight="1" x14ac:dyDescent="0.3">
      <c r="A38" s="28"/>
      <c r="B38" s="28"/>
      <c r="C38" s="28"/>
      <c r="D38" s="28"/>
      <c r="E38" s="28"/>
      <c r="F38" s="28"/>
    </row>
    <row r="39" spans="1:6" ht="20.65" customHeight="1" x14ac:dyDescent="0.3">
      <c r="A39" s="28"/>
      <c r="B39" s="28"/>
      <c r="C39" s="28"/>
      <c r="D39" s="28"/>
      <c r="E39" s="28"/>
      <c r="F39" s="28"/>
    </row>
  </sheetData>
  <sheetProtection algorithmName="SHA-512" hashValue="2NNK7e94Kgo31oVaCxO57vma+d40tT6xlh0MGtMlfUmHGVAoD7NxS7QpxTzXz9c9OUpvaO89OMNqNrLHHSuXUg==" saltValue="rVXCnvVxtAnyjVobPWyQsg==" spinCount="100000" sheet="1" selectLockedCells="1"/>
  <mergeCells count="38">
    <mergeCell ref="B15:F15"/>
    <mergeCell ref="B14:D14"/>
    <mergeCell ref="A1:C1"/>
    <mergeCell ref="D1:F5"/>
    <mergeCell ref="A6:F6"/>
    <mergeCell ref="B9:D9"/>
    <mergeCell ref="B8:F8"/>
    <mergeCell ref="B10:D10"/>
    <mergeCell ref="B11:F11"/>
    <mergeCell ref="B12:F12"/>
    <mergeCell ref="B13:D13"/>
    <mergeCell ref="B17:F17"/>
    <mergeCell ref="B26:D26"/>
    <mergeCell ref="B19:D19"/>
    <mergeCell ref="B21:D21"/>
    <mergeCell ref="B16:D16"/>
    <mergeCell ref="B25:D25"/>
    <mergeCell ref="B24:F24"/>
    <mergeCell ref="B20:F20"/>
    <mergeCell ref="B22:F22"/>
    <mergeCell ref="A28:B28"/>
    <mergeCell ref="C28:D28"/>
    <mergeCell ref="A29:B29"/>
    <mergeCell ref="C29:D29"/>
    <mergeCell ref="A30:B30"/>
    <mergeCell ref="C30:D30"/>
    <mergeCell ref="A39:F39"/>
    <mergeCell ref="A31:B31"/>
    <mergeCell ref="C31:D31"/>
    <mergeCell ref="A32:B32"/>
    <mergeCell ref="C32:D32"/>
    <mergeCell ref="A38:F38"/>
    <mergeCell ref="A35:D35"/>
    <mergeCell ref="A37:F37"/>
    <mergeCell ref="A33:B33"/>
    <mergeCell ref="C33:D33"/>
    <mergeCell ref="A34:B34"/>
    <mergeCell ref="C34:D34"/>
  </mergeCells>
  <hyperlinks>
    <hyperlink ref="A4" r:id="rId1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4</xdr:col>
                    <xdr:colOff>209550</xdr:colOff>
                    <xdr:row>6</xdr:row>
                    <xdr:rowOff>0</xdr:rowOff>
                  </from>
                  <to>
                    <xdr:col>4</xdr:col>
                    <xdr:colOff>952500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266700</xdr:colOff>
                    <xdr:row>6</xdr:row>
                    <xdr:rowOff>19050</xdr:rowOff>
                  </from>
                  <to>
                    <xdr:col>5</xdr:col>
                    <xdr:colOff>590550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457200</xdr:colOff>
                    <xdr:row>36</xdr:row>
                    <xdr:rowOff>19050</xdr:rowOff>
                  </from>
                  <to>
                    <xdr:col>3</xdr:col>
                    <xdr:colOff>571500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3</xdr:col>
                    <xdr:colOff>419100</xdr:colOff>
                    <xdr:row>36</xdr:row>
                    <xdr:rowOff>19050</xdr:rowOff>
                  </from>
                  <to>
                    <xdr:col>4</xdr:col>
                    <xdr:colOff>323850</xdr:colOff>
                    <xdr:row>36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0</xdr:col>
                    <xdr:colOff>19050</xdr:colOff>
                    <xdr:row>37</xdr:row>
                    <xdr:rowOff>19050</xdr:rowOff>
                  </from>
                  <to>
                    <xdr:col>2</xdr:col>
                    <xdr:colOff>190500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0</xdr:col>
                    <xdr:colOff>990600</xdr:colOff>
                    <xdr:row>37</xdr:row>
                    <xdr:rowOff>57150</xdr:rowOff>
                  </from>
                  <to>
                    <xdr:col>3</xdr:col>
                    <xdr:colOff>438150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3</xdr:col>
                    <xdr:colOff>419100</xdr:colOff>
                    <xdr:row>38</xdr:row>
                    <xdr:rowOff>57150</xdr:rowOff>
                  </from>
                  <to>
                    <xdr:col>4</xdr:col>
                    <xdr:colOff>95250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4</xdr:col>
                    <xdr:colOff>457200</xdr:colOff>
                    <xdr:row>36</xdr:row>
                    <xdr:rowOff>19050</xdr:rowOff>
                  </from>
                  <to>
                    <xdr:col>5</xdr:col>
                    <xdr:colOff>1009650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4</xdr:col>
                    <xdr:colOff>457200</xdr:colOff>
                    <xdr:row>37</xdr:row>
                    <xdr:rowOff>38100</xdr:rowOff>
                  </from>
                  <to>
                    <xdr:col>5</xdr:col>
                    <xdr:colOff>1047750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19050</xdr:colOff>
                    <xdr:row>38</xdr:row>
                    <xdr:rowOff>38100</xdr:rowOff>
                  </from>
                  <to>
                    <xdr:col>3</xdr:col>
                    <xdr:colOff>114300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3</xdr:col>
                    <xdr:colOff>419100</xdr:colOff>
                    <xdr:row>37</xdr:row>
                    <xdr:rowOff>38100</xdr:rowOff>
                  </from>
                  <to>
                    <xdr:col>4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b0cee36c-225c-4f48-b60b-921f444b5698}" enabled="0" method="" siteId="{b0cee36c-225c-4f48-b60b-921f444b56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Jinglin Xu</dc:creator>
  <cp:lastModifiedBy>Jinglin Xu</cp:lastModifiedBy>
  <cp:lastPrinted>2020-07-16T02:32:13Z</cp:lastPrinted>
  <dcterms:created xsi:type="dcterms:W3CDTF">2018-08-08T03:15:39Z</dcterms:created>
  <dcterms:modified xsi:type="dcterms:W3CDTF">2026-08-07T18:52:54Z</dcterms:modified>
</cp:coreProperties>
</file>